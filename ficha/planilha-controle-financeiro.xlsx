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ançamentos" sheetId="2" state="visible" r:id="rId2"/>
    <sheet name="Dados" sheetId="3" state="visible" r:id="rId3"/>
    <sheet name="Configuração" sheetId="4" state="visible" r:id="rId4"/>
  </sheets>
  <definedNames>
    <definedName name="_xlnm._FilterDatabase" localSheetId="1" hidden="1">'Lançamentos'!$A$1:$AA$300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US$ #,##0.00"/>
    <numFmt numFmtId="166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13294A"/>
      <sz val="18"/>
    </font>
    <font>
      <name val="Arial"/>
      <color rgb="006B7890"/>
      <sz val="10"/>
    </font>
    <font>
      <name val="Arial"/>
      <b val="1"/>
      <color rgb="006B7890"/>
      <sz val="9"/>
    </font>
    <font>
      <name val="Arial"/>
      <b val="1"/>
      <color rgb="0013294A"/>
      <sz val="16"/>
    </font>
    <font>
      <name val="Arial"/>
      <b val="1"/>
      <color rgb="0013294A"/>
      <sz val="12"/>
    </font>
    <font>
      <name val="Arial"/>
      <b val="1"/>
      <color rgb="00FFFFFF"/>
      <sz val="10"/>
    </font>
    <font>
      <name val="Arial"/>
      <b val="1"/>
      <color rgb="0013294A"/>
      <sz val="14"/>
    </font>
    <font>
      <name val="Arial"/>
      <b val="1"/>
    </font>
    <font>
      <name val="Arial"/>
      <b val="1"/>
      <color rgb="0013294A"/>
      <sz val="10"/>
    </font>
    <font>
      <name val="Arial"/>
      <color rgb="003A4760"/>
      <sz val="10"/>
    </font>
  </fonts>
  <fills count="6">
    <fill>
      <patternFill/>
    </fill>
    <fill>
      <patternFill patternType="gray125"/>
    </fill>
    <fill>
      <patternFill patternType="solid">
        <fgColor rgb="00EAF2FB"/>
      </patternFill>
    </fill>
    <fill>
      <patternFill patternType="solid">
        <fgColor rgb="002F6FB5"/>
      </patternFill>
    </fill>
    <fill>
      <patternFill patternType="solid">
        <fgColor rgb="0013294A"/>
      </patternFill>
    </fill>
    <fill>
      <patternFill patternType="solid">
        <fgColor rgb="00FFF2A8"/>
      </patternFill>
    </fill>
  </fills>
  <borders count="3">
    <border>
      <left/>
      <right/>
      <top/>
      <bottom/>
      <diagonal/>
    </border>
    <border>
      <bottom style="thin">
        <color rgb="00DCE2EC"/>
      </bottom>
    </border>
    <border>
      <left style="thin">
        <color rgb="00DCE2EC"/>
      </left>
      <right style="thin">
        <color rgb="00DCE2EC"/>
      </right>
      <top style="thin">
        <color rgb="00DCE2EC"/>
      </top>
      <bottom style="thin">
        <color rgb="00DCE2E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4" fillId="2" borderId="0" pivotButton="0" quotePrefix="0" xfId="0"/>
    <xf numFmtId="165" fontId="4" fillId="2" borderId="0" pivotButton="0" quotePrefix="0" xfId="0"/>
    <xf numFmtId="1" fontId="4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164" fontId="0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166" fontId="0" fillId="0" borderId="0" pivotButton="0" quotePrefix="0" xfId="0"/>
    <xf numFmtId="4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5" borderId="2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DF4E3"/>
        </patternFill>
      </fill>
    </dxf>
    <dxf>
      <fill>
        <patternFill patternType="solid">
          <fgColor rgb="00F6F9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0" customWidth="1" min="3" max="3"/>
    <col width="24" customWidth="1" min="4" max="4"/>
    <col width="3" customWidth="1" min="5" max="5"/>
    <col width="24" customWidth="1" min="6" max="6"/>
    <col width="10" customWidth="1" min="7" max="7"/>
    <col width="24" customWidth="1" min="8" max="8"/>
    <col width="3" customWidth="1" min="9" max="9"/>
    <col width="24" customWidth="1" min="10" max="10"/>
    <col width="3" customWidth="1" min="11" max="11"/>
  </cols>
  <sheetData>
    <row r="2">
      <c r="B2" s="1" t="inlineStr">
        <is>
          <t>Controle financeiro · Blue Clínica</t>
        </is>
      </c>
    </row>
    <row r="3">
      <c r="B3" s="2" t="inlineStr">
        <is>
          <t>Pagamentos conferidos pela gestão (botão 💰 Controle financeiro). Atualiza sozinha.</t>
        </is>
      </c>
    </row>
    <row r="5">
      <c r="B5" s="3" t="inlineStr">
        <is>
          <t>Recebido no mês (R$)</t>
        </is>
      </c>
      <c r="D5" s="3" t="inlineStr">
        <is>
          <t>Recebido no total (R$)</t>
        </is>
      </c>
      <c r="F5" s="3" t="inlineStr">
        <is>
          <t>Recebido em dólar (US$)</t>
        </is>
      </c>
      <c r="H5" s="3" t="inlineStr">
        <is>
          <t>Lançamentos</t>
        </is>
      </c>
      <c r="J5" s="3" t="inlineStr">
        <is>
          <t>Com divergência</t>
        </is>
      </c>
    </row>
    <row r="6" ht="30" customHeight="1">
      <c r="B6" s="4">
        <f>SUMIFS(Dados!I2:I,Dados!J2:J,"BRL",Dados!B2:B,"&gt;="&amp;(EOMONTH(TODAY(),-1)+1),Dados!B2:B,"&lt;="&amp;EOMONTH(TODAY(),0))</f>
        <v/>
      </c>
      <c r="D6" s="4">
        <f>SUMIFS(Dados!I2:I,Dados!J2:J,"BRL")</f>
        <v/>
      </c>
      <c r="F6" s="5">
        <f>SUMIFS(Dados!I2:I,Dados!J2:J,"USD")</f>
        <v/>
      </c>
      <c r="H6" s="6">
        <f>COUNT(Dados!A2:A)</f>
        <v/>
      </c>
      <c r="J6" s="6">
        <f>COUNTIF(Dados!R2:R,"Conferido com divergência")</f>
        <v/>
      </c>
    </row>
    <row r="9">
      <c r="B9" s="7" t="inlineStr">
        <is>
          <t>Por categoria</t>
        </is>
      </c>
      <c r="F9" s="7" t="inlineStr">
        <is>
          <t>Por forma de pagamento</t>
        </is>
      </c>
    </row>
    <row r="10">
      <c r="B10" s="8">
        <f>IFERROR(QUERY(Dados!A2:AO,"select AF, count(A), sum(I) where A is not null and J = 'BRL' group by AF order by sum(I) desc label AF 'Categoria', count(A) 'Qtd', sum(I) 'Valor (R$)'",0),"Sem lançamentos ainda")</f>
        <v/>
      </c>
      <c r="C10" s="8" t="n"/>
      <c r="D10" s="8" t="n"/>
      <c r="F10" s="8">
        <f>IFERROR(QUERY(Dados!A2:AO,"select K, count(A), sum(I) where A is not null and J = 'BRL' group by K order by sum(I) desc label K 'Forma', count(A) 'Qtd', sum(I) 'Valor (R$)'",0),"Sem lançamentos ainda")</f>
        <v/>
      </c>
      <c r="G10" s="8" t="n"/>
      <c r="H10" s="8" t="n"/>
    </row>
    <row r="11">
      <c r="D11" s="9" t="n"/>
      <c r="H11" s="9" t="n"/>
    </row>
    <row r="12">
      <c r="D12" s="9" t="n"/>
      <c r="H12" s="9" t="n"/>
    </row>
    <row r="13">
      <c r="D13" s="9" t="n"/>
      <c r="H13" s="9" t="n"/>
    </row>
    <row r="14">
      <c r="D14" s="9" t="n"/>
      <c r="H14" s="9" t="n"/>
    </row>
    <row r="15">
      <c r="D15" s="9" t="n"/>
      <c r="H15" s="9" t="n"/>
    </row>
    <row r="16">
      <c r="D16" s="9" t="n"/>
      <c r="H16" s="9" t="n"/>
    </row>
    <row r="17">
      <c r="D17" s="9" t="n"/>
      <c r="H17" s="9" t="n"/>
    </row>
    <row r="18">
      <c r="D18" s="9" t="n"/>
      <c r="H18" s="9" t="n"/>
    </row>
    <row r="19">
      <c r="D19" s="9" t="n"/>
      <c r="H19" s="9" t="n"/>
    </row>
    <row r="20">
      <c r="D20" s="9" t="n"/>
      <c r="H20" s="9" t="n"/>
    </row>
    <row r="21">
      <c r="D21" s="9" t="n"/>
      <c r="H21" s="9" t="n"/>
    </row>
    <row r="22">
      <c r="D22" s="9" t="n"/>
      <c r="H22" s="9" t="n"/>
    </row>
    <row r="23">
      <c r="D23" s="9" t="n"/>
      <c r="H23" s="9" t="n"/>
    </row>
    <row r="24">
      <c r="D24" s="9" t="n"/>
      <c r="H24" s="9" t="n"/>
    </row>
    <row r="27">
      <c r="B27" s="7" t="inlineStr">
        <is>
          <t>Por responsável</t>
        </is>
      </c>
      <c r="F27" s="7" t="inlineStr">
        <is>
          <t>Por mês</t>
        </is>
      </c>
    </row>
    <row r="28">
      <c r="B28" s="8">
        <f>IFERROR(QUERY(Dados!A2:AO,"select U, count(A), sum(I) where A is not null and J = 'BRL' group by U order by sum(I) desc label U 'Responsável', count(A) 'Qtd', sum(I) 'Valor (R$)'",0),"Sem lançamentos ainda")</f>
        <v/>
      </c>
      <c r="C28" s="8" t="n"/>
      <c r="D28" s="8" t="n"/>
      <c r="F28" s="8">
        <f>IFERROR(QUERY(Dados!A2:AO,"select year(B), month(B)+1, sum(I) where A is not null and J = 'BRL' group by year(B), month(B)+1 order by year(B) desc, month(B)+1 desc label year(B) 'Ano', month(B)+1 'Mês', sum(I) 'Valor (R$)'",0),"Sem lançamentos ainda")</f>
        <v/>
      </c>
      <c r="G28" s="8" t="n"/>
      <c r="H28" s="8" t="n"/>
    </row>
    <row r="29">
      <c r="D29" s="9" t="n"/>
      <c r="H29" s="9" t="n"/>
    </row>
    <row r="30">
      <c r="D30" s="9" t="n"/>
      <c r="H30" s="9" t="n"/>
    </row>
    <row r="31">
      <c r="D31" s="9" t="n"/>
      <c r="H31" s="9" t="n"/>
    </row>
    <row r="32">
      <c r="D32" s="9" t="n"/>
      <c r="H32" s="9" t="n"/>
    </row>
    <row r="33">
      <c r="D33" s="9" t="n"/>
      <c r="H33" s="9" t="n"/>
    </row>
    <row r="34">
      <c r="D34" s="9" t="n"/>
      <c r="H34" s="9" t="n"/>
    </row>
    <row r="35">
      <c r="D35" s="9" t="n"/>
      <c r="H35" s="9" t="n"/>
    </row>
    <row r="36">
      <c r="D36" s="9" t="n"/>
      <c r="H36" s="9" t="n"/>
    </row>
    <row r="37">
      <c r="D37" s="9" t="n"/>
      <c r="H37" s="9" t="n"/>
    </row>
    <row r="38">
      <c r="D38" s="9" t="n"/>
      <c r="H38" s="9" t="n"/>
    </row>
    <row r="39">
      <c r="D39" s="9" t="n"/>
      <c r="H39" s="9" t="n"/>
    </row>
    <row r="40">
      <c r="D40" s="9" t="n"/>
      <c r="H40" s="9" t="n"/>
    </row>
    <row r="41">
      <c r="D41" s="9" t="n"/>
      <c r="H41" s="9" t="n"/>
    </row>
    <row r="42">
      <c r="D42" s="9" t="n"/>
      <c r="H42" s="9" t="n"/>
    </row>
    <row r="45">
      <c r="B45" s="7" t="inlineStr">
        <is>
          <t>Cartão por bandeira</t>
        </is>
      </c>
    </row>
    <row r="46">
      <c r="B46" s="8">
        <f>IFERROR(QUERY(Dados!A2:AO,"select AI, count(A), sum(I) where A is not null and J = 'BRL' and AI is not null group by AI order by sum(I) desc label AI 'Bandeira', count(A) 'Qtd', sum(I) 'Valor (R$)'",0),"Sem cartão ainda")</f>
        <v/>
      </c>
      <c r="C46" s="8" t="n"/>
      <c r="D46" s="8" t="n"/>
    </row>
    <row r="47">
      <c r="D47" s="9" t="n"/>
    </row>
    <row r="48">
      <c r="D48" s="9" t="n"/>
    </row>
    <row r="49">
      <c r="D49" s="9" t="n"/>
    </row>
    <row r="50">
      <c r="D50" s="9" t="n"/>
    </row>
    <row r="51">
      <c r="D51" s="9" t="n"/>
    </row>
    <row r="52">
      <c r="D52" s="9" t="n"/>
    </row>
    <row r="53">
      <c r="D53" s="9" t="n"/>
    </row>
    <row r="54">
      <c r="D54" s="9" t="n"/>
    </row>
    <row r="55">
      <c r="D55" s="9" t="n"/>
    </row>
    <row r="56">
      <c r="D56" s="9" t="n"/>
    </row>
    <row r="57">
      <c r="D57" s="9" t="n"/>
    </row>
    <row r="58">
      <c r="D58" s="9" t="n"/>
    </row>
    <row r="59">
      <c r="D59" s="9" t="n"/>
    </row>
    <row r="60">
      <c r="D60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10" customWidth="1" min="4" max="4"/>
    <col width="26" customWidth="1" min="5" max="5"/>
    <col width="13" customWidth="1" min="6" max="6"/>
    <col width="7" customWidth="1" min="7" max="7"/>
    <col width="16" customWidth="1" min="8" max="8"/>
    <col width="14" customWidth="1" min="9" max="9"/>
    <col width="16" customWidth="1" min="10" max="10"/>
    <col width="34" customWidth="1" min="11" max="11"/>
    <col width="16" customWidth="1" min="12" max="12"/>
    <col width="8" customWidth="1" min="13" max="13"/>
    <col width="22" customWidth="1" min="14" max="14"/>
    <col width="40" customWidth="1" min="15" max="15"/>
    <col width="34" customWidth="1" min="16" max="16"/>
    <col width="16" customWidth="1" min="17" max="17"/>
    <col width="18" customWidth="1" min="18" max="18"/>
    <col width="40" customWidth="1" min="19" max="19"/>
    <col width="16" customWidth="1" min="20" max="20"/>
    <col width="12" customWidth="1" min="21" max="21"/>
    <col width="8" customWidth="1" min="22" max="22"/>
    <col width="9" customWidth="1" min="23" max="23"/>
    <col width="12" customWidth="1" min="24" max="24"/>
    <col width="12" customWidth="1" min="25" max="25"/>
    <col width="10" customWidth="1" min="26" max="26"/>
    <col width="30" customWidth="1" min="27" max="27"/>
  </cols>
  <sheetData>
    <row r="1" ht="26" customHeight="1">
      <c r="A1" s="10" t="inlineStr">
        <is>
          <t>Nº</t>
        </is>
      </c>
      <c r="B1" s="10" t="inlineStr">
        <is>
          <t>Data</t>
        </is>
      </c>
      <c r="C1" s="10" t="inlineStr">
        <is>
          <t>Paciente</t>
        </is>
      </c>
      <c r="D1" s="10" t="inlineStr">
        <is>
          <t>ID Amigo</t>
        </is>
      </c>
      <c r="E1" s="10" t="inlineStr">
        <is>
          <t>Pagador</t>
        </is>
      </c>
      <c r="F1" s="10" t="inlineStr">
        <is>
          <t>Valor</t>
        </is>
      </c>
      <c r="G1" s="10" t="inlineStr">
        <is>
          <t>Moeda</t>
        </is>
      </c>
      <c r="H1" s="10" t="inlineStr">
        <is>
          <t>Forma</t>
        </is>
      </c>
      <c r="I1" s="10" t="inlineStr">
        <is>
          <t>Banco</t>
        </is>
      </c>
      <c r="J1" s="10" t="inlineStr">
        <is>
          <t>Categoria</t>
        </is>
      </c>
      <c r="K1" s="10" t="inlineStr">
        <is>
          <t>Itens pagos</t>
        </is>
      </c>
      <c r="L1" s="10" t="inlineStr">
        <is>
          <t>Parcela</t>
        </is>
      </c>
      <c r="M1" s="10" t="inlineStr">
        <is>
          <t>Desc. %</t>
        </is>
      </c>
      <c r="N1" s="10" t="inlineStr">
        <is>
          <t>Status</t>
        </is>
      </c>
      <c r="O1" s="10" t="inlineStr">
        <is>
          <t>Divergências</t>
        </is>
      </c>
      <c r="P1" s="10" t="inlineStr">
        <is>
          <t>ID da transação</t>
        </is>
      </c>
      <c r="Q1" s="10" t="inlineStr">
        <is>
          <t>Responsável</t>
        </is>
      </c>
      <c r="R1" s="10" t="inlineStr">
        <is>
          <t>Confirmado em</t>
        </is>
      </c>
      <c r="S1" s="10" t="inlineStr">
        <is>
          <t>Observações</t>
        </is>
      </c>
      <c r="T1" s="10" t="inlineStr">
        <is>
          <t>Documento</t>
        </is>
      </c>
      <c r="U1" s="10" t="inlineStr">
        <is>
          <t>Bandeira</t>
        </is>
      </c>
      <c r="V1" s="10" t="inlineStr">
        <is>
          <t>Final</t>
        </is>
      </c>
      <c r="W1" s="10" t="inlineStr">
        <is>
          <t>Parcelas</t>
        </is>
      </c>
      <c r="X1" s="10" t="inlineStr">
        <is>
          <t>NSU</t>
        </is>
      </c>
      <c r="Y1" s="10" t="inlineStr">
        <is>
          <t>Autorização</t>
        </is>
      </c>
      <c r="Z1" s="10" t="inlineStr">
        <is>
          <t>Nº NF</t>
        </is>
      </c>
      <c r="AA1" s="10" t="inlineStr">
        <is>
          <t>Paciente no Amigo</t>
        </is>
      </c>
    </row>
    <row r="2">
      <c r="A2">
        <f>IFERROR(QUERY(Dados!A2:AO,"select A, B, E, F, G, I, J, K, L, AF, AG, AB, AE, R, S, O, U, T, V, AH, AI, AJ, AM, AK, AL, AN, AO where A is not null order by A desc",0),"")</f>
        <v/>
      </c>
      <c r="B2" s="11" t="n"/>
      <c r="F2" s="12" t="n"/>
    </row>
    <row r="3">
      <c r="B3" s="11" t="n"/>
      <c r="F3" s="12" t="n"/>
    </row>
    <row r="4">
      <c r="B4" s="11" t="n"/>
      <c r="F4" s="12" t="n"/>
    </row>
    <row r="5">
      <c r="B5" s="11" t="n"/>
      <c r="F5" s="12" t="n"/>
    </row>
    <row r="6">
      <c r="B6" s="11" t="n"/>
      <c r="F6" s="12" t="n"/>
    </row>
    <row r="7">
      <c r="B7" s="11" t="n"/>
      <c r="F7" s="12" t="n"/>
    </row>
    <row r="8">
      <c r="B8" s="11" t="n"/>
      <c r="F8" s="12" t="n"/>
    </row>
    <row r="9">
      <c r="B9" s="11" t="n"/>
      <c r="F9" s="12" t="n"/>
    </row>
    <row r="10">
      <c r="B10" s="11" t="n"/>
      <c r="F10" s="12" t="n"/>
    </row>
    <row r="11">
      <c r="B11" s="11" t="n"/>
      <c r="F11" s="12" t="n"/>
    </row>
    <row r="12">
      <c r="B12" s="11" t="n"/>
      <c r="F12" s="12" t="n"/>
    </row>
    <row r="13">
      <c r="B13" s="11" t="n"/>
      <c r="F13" s="12" t="n"/>
    </row>
    <row r="14">
      <c r="B14" s="11" t="n"/>
      <c r="F14" s="12" t="n"/>
    </row>
    <row r="15">
      <c r="B15" s="11" t="n"/>
      <c r="F15" s="12" t="n"/>
    </row>
    <row r="16">
      <c r="B16" s="11" t="n"/>
      <c r="F16" s="12" t="n"/>
    </row>
    <row r="17">
      <c r="B17" s="11" t="n"/>
      <c r="F17" s="12" t="n"/>
    </row>
    <row r="18">
      <c r="B18" s="11" t="n"/>
      <c r="F18" s="12" t="n"/>
    </row>
    <row r="19">
      <c r="B19" s="11" t="n"/>
      <c r="F19" s="12" t="n"/>
    </row>
    <row r="20">
      <c r="B20" s="11" t="n"/>
      <c r="F20" s="12" t="n"/>
    </row>
    <row r="21">
      <c r="B21" s="11" t="n"/>
      <c r="F21" s="12" t="n"/>
    </row>
    <row r="22">
      <c r="B22" s="11" t="n"/>
      <c r="F22" s="12" t="n"/>
    </row>
    <row r="23">
      <c r="B23" s="11" t="n"/>
      <c r="F23" s="12" t="n"/>
    </row>
    <row r="24">
      <c r="B24" s="11" t="n"/>
      <c r="F24" s="12" t="n"/>
    </row>
    <row r="25">
      <c r="B25" s="11" t="n"/>
      <c r="F25" s="12" t="n"/>
    </row>
    <row r="26">
      <c r="B26" s="11" t="n"/>
      <c r="F26" s="12" t="n"/>
    </row>
    <row r="27">
      <c r="B27" s="11" t="n"/>
      <c r="F27" s="12" t="n"/>
    </row>
    <row r="28">
      <c r="B28" s="11" t="n"/>
      <c r="F28" s="12" t="n"/>
    </row>
    <row r="29">
      <c r="B29" s="11" t="n"/>
      <c r="F29" s="12" t="n"/>
    </row>
    <row r="30">
      <c r="B30" s="11" t="n"/>
      <c r="F30" s="12" t="n"/>
    </row>
    <row r="31">
      <c r="B31" s="11" t="n"/>
      <c r="F31" s="12" t="n"/>
    </row>
    <row r="32">
      <c r="B32" s="11" t="n"/>
      <c r="F32" s="12" t="n"/>
    </row>
    <row r="33">
      <c r="B33" s="11" t="n"/>
      <c r="F33" s="12" t="n"/>
    </row>
    <row r="34">
      <c r="B34" s="11" t="n"/>
      <c r="F34" s="12" t="n"/>
    </row>
    <row r="35">
      <c r="B35" s="11" t="n"/>
      <c r="F35" s="12" t="n"/>
    </row>
    <row r="36">
      <c r="B36" s="11" t="n"/>
      <c r="F36" s="12" t="n"/>
    </row>
    <row r="37">
      <c r="B37" s="11" t="n"/>
      <c r="F37" s="12" t="n"/>
    </row>
    <row r="38">
      <c r="B38" s="11" t="n"/>
      <c r="F38" s="12" t="n"/>
    </row>
    <row r="39">
      <c r="B39" s="11" t="n"/>
      <c r="F39" s="12" t="n"/>
    </row>
    <row r="40">
      <c r="B40" s="11" t="n"/>
      <c r="F40" s="12" t="n"/>
    </row>
    <row r="41">
      <c r="B41" s="11" t="n"/>
      <c r="F41" s="12" t="n"/>
    </row>
    <row r="42">
      <c r="B42" s="11" t="n"/>
      <c r="F42" s="12" t="n"/>
    </row>
    <row r="43">
      <c r="B43" s="11" t="n"/>
      <c r="F43" s="12" t="n"/>
    </row>
    <row r="44">
      <c r="B44" s="11" t="n"/>
      <c r="F44" s="12" t="n"/>
    </row>
    <row r="45">
      <c r="B45" s="11" t="n"/>
      <c r="F45" s="12" t="n"/>
    </row>
    <row r="46">
      <c r="B46" s="11" t="n"/>
      <c r="F46" s="12" t="n"/>
    </row>
    <row r="47">
      <c r="B47" s="11" t="n"/>
      <c r="F47" s="12" t="n"/>
    </row>
    <row r="48">
      <c r="B48" s="11" t="n"/>
      <c r="F48" s="12" t="n"/>
    </row>
    <row r="49">
      <c r="B49" s="11" t="n"/>
      <c r="F49" s="12" t="n"/>
    </row>
    <row r="50">
      <c r="B50" s="11" t="n"/>
      <c r="F50" s="12" t="n"/>
    </row>
    <row r="51">
      <c r="B51" s="11" t="n"/>
      <c r="F51" s="12" t="n"/>
    </row>
    <row r="52">
      <c r="B52" s="11" t="n"/>
      <c r="F52" s="12" t="n"/>
    </row>
    <row r="53">
      <c r="B53" s="11" t="n"/>
      <c r="F53" s="12" t="n"/>
    </row>
    <row r="54">
      <c r="B54" s="11" t="n"/>
      <c r="F54" s="12" t="n"/>
    </row>
    <row r="55">
      <c r="B55" s="11" t="n"/>
      <c r="F55" s="12" t="n"/>
    </row>
    <row r="56">
      <c r="B56" s="11" t="n"/>
      <c r="F56" s="12" t="n"/>
    </row>
    <row r="57">
      <c r="B57" s="11" t="n"/>
      <c r="F57" s="12" t="n"/>
    </row>
    <row r="58">
      <c r="B58" s="11" t="n"/>
      <c r="F58" s="12" t="n"/>
    </row>
    <row r="59">
      <c r="B59" s="11" t="n"/>
      <c r="F59" s="12" t="n"/>
    </row>
    <row r="60">
      <c r="B60" s="11" t="n"/>
      <c r="F60" s="12" t="n"/>
    </row>
    <row r="61">
      <c r="B61" s="11" t="n"/>
      <c r="F61" s="12" t="n"/>
    </row>
    <row r="62">
      <c r="B62" s="11" t="n"/>
      <c r="F62" s="12" t="n"/>
    </row>
    <row r="63">
      <c r="B63" s="11" t="n"/>
      <c r="F63" s="12" t="n"/>
    </row>
    <row r="64">
      <c r="B64" s="11" t="n"/>
      <c r="F64" s="12" t="n"/>
    </row>
    <row r="65">
      <c r="B65" s="11" t="n"/>
      <c r="F65" s="12" t="n"/>
    </row>
    <row r="66">
      <c r="B66" s="11" t="n"/>
      <c r="F66" s="12" t="n"/>
    </row>
    <row r="67">
      <c r="B67" s="11" t="n"/>
      <c r="F67" s="12" t="n"/>
    </row>
    <row r="68">
      <c r="B68" s="11" t="n"/>
      <c r="F68" s="12" t="n"/>
    </row>
    <row r="69">
      <c r="B69" s="11" t="n"/>
      <c r="F69" s="12" t="n"/>
    </row>
    <row r="70">
      <c r="B70" s="11" t="n"/>
      <c r="F70" s="12" t="n"/>
    </row>
    <row r="71">
      <c r="B71" s="11" t="n"/>
      <c r="F71" s="12" t="n"/>
    </row>
    <row r="72">
      <c r="B72" s="11" t="n"/>
      <c r="F72" s="12" t="n"/>
    </row>
    <row r="73">
      <c r="B73" s="11" t="n"/>
      <c r="F73" s="12" t="n"/>
    </row>
    <row r="74">
      <c r="B74" s="11" t="n"/>
      <c r="F74" s="12" t="n"/>
    </row>
    <row r="75">
      <c r="B75" s="11" t="n"/>
      <c r="F75" s="12" t="n"/>
    </row>
    <row r="76">
      <c r="B76" s="11" t="n"/>
      <c r="F76" s="12" t="n"/>
    </row>
    <row r="77">
      <c r="B77" s="11" t="n"/>
      <c r="F77" s="12" t="n"/>
    </row>
    <row r="78">
      <c r="B78" s="11" t="n"/>
      <c r="F78" s="12" t="n"/>
    </row>
    <row r="79">
      <c r="B79" s="11" t="n"/>
      <c r="F79" s="12" t="n"/>
    </row>
    <row r="80">
      <c r="B80" s="11" t="n"/>
      <c r="F80" s="12" t="n"/>
    </row>
    <row r="81">
      <c r="B81" s="11" t="n"/>
      <c r="F81" s="12" t="n"/>
    </row>
    <row r="82">
      <c r="B82" s="11" t="n"/>
      <c r="F82" s="12" t="n"/>
    </row>
    <row r="83">
      <c r="B83" s="11" t="n"/>
      <c r="F83" s="12" t="n"/>
    </row>
    <row r="84">
      <c r="B84" s="11" t="n"/>
      <c r="F84" s="12" t="n"/>
    </row>
    <row r="85">
      <c r="B85" s="11" t="n"/>
      <c r="F85" s="12" t="n"/>
    </row>
    <row r="86">
      <c r="B86" s="11" t="n"/>
      <c r="F86" s="12" t="n"/>
    </row>
    <row r="87">
      <c r="B87" s="11" t="n"/>
      <c r="F87" s="12" t="n"/>
    </row>
    <row r="88">
      <c r="B88" s="11" t="n"/>
      <c r="F88" s="12" t="n"/>
    </row>
    <row r="89">
      <c r="B89" s="11" t="n"/>
      <c r="F89" s="12" t="n"/>
    </row>
    <row r="90">
      <c r="B90" s="11" t="n"/>
      <c r="F90" s="12" t="n"/>
    </row>
    <row r="91">
      <c r="B91" s="11" t="n"/>
      <c r="F91" s="12" t="n"/>
    </row>
    <row r="92">
      <c r="B92" s="11" t="n"/>
      <c r="F92" s="12" t="n"/>
    </row>
    <row r="93">
      <c r="B93" s="11" t="n"/>
      <c r="F93" s="12" t="n"/>
    </row>
    <row r="94">
      <c r="B94" s="11" t="n"/>
      <c r="F94" s="12" t="n"/>
    </row>
    <row r="95">
      <c r="B95" s="11" t="n"/>
      <c r="F95" s="12" t="n"/>
    </row>
    <row r="96">
      <c r="B96" s="11" t="n"/>
      <c r="F96" s="12" t="n"/>
    </row>
    <row r="97">
      <c r="B97" s="11" t="n"/>
      <c r="F97" s="12" t="n"/>
    </row>
    <row r="98">
      <c r="B98" s="11" t="n"/>
      <c r="F98" s="12" t="n"/>
    </row>
    <row r="99">
      <c r="B99" s="11" t="n"/>
      <c r="F99" s="12" t="n"/>
    </row>
    <row r="100">
      <c r="B100" s="11" t="n"/>
      <c r="F100" s="12" t="n"/>
    </row>
    <row r="101">
      <c r="B101" s="11" t="n"/>
      <c r="F101" s="12" t="n"/>
    </row>
    <row r="102">
      <c r="B102" s="11" t="n"/>
      <c r="F102" s="12" t="n"/>
    </row>
    <row r="103">
      <c r="B103" s="11" t="n"/>
      <c r="F103" s="12" t="n"/>
    </row>
    <row r="104">
      <c r="B104" s="11" t="n"/>
      <c r="F104" s="12" t="n"/>
    </row>
    <row r="105">
      <c r="B105" s="11" t="n"/>
      <c r="F105" s="12" t="n"/>
    </row>
    <row r="106">
      <c r="B106" s="11" t="n"/>
      <c r="F106" s="12" t="n"/>
    </row>
    <row r="107">
      <c r="B107" s="11" t="n"/>
      <c r="F107" s="12" t="n"/>
    </row>
    <row r="108">
      <c r="B108" s="11" t="n"/>
      <c r="F108" s="12" t="n"/>
    </row>
    <row r="109">
      <c r="B109" s="11" t="n"/>
      <c r="F109" s="12" t="n"/>
    </row>
    <row r="110">
      <c r="B110" s="11" t="n"/>
      <c r="F110" s="12" t="n"/>
    </row>
    <row r="111">
      <c r="B111" s="11" t="n"/>
      <c r="F111" s="12" t="n"/>
    </row>
    <row r="112">
      <c r="B112" s="11" t="n"/>
      <c r="F112" s="12" t="n"/>
    </row>
    <row r="113">
      <c r="B113" s="11" t="n"/>
      <c r="F113" s="12" t="n"/>
    </row>
    <row r="114">
      <c r="B114" s="11" t="n"/>
      <c r="F114" s="12" t="n"/>
    </row>
    <row r="115">
      <c r="B115" s="11" t="n"/>
      <c r="F115" s="12" t="n"/>
    </row>
    <row r="116">
      <c r="B116" s="11" t="n"/>
      <c r="F116" s="12" t="n"/>
    </row>
    <row r="117">
      <c r="B117" s="11" t="n"/>
      <c r="F117" s="12" t="n"/>
    </row>
    <row r="118">
      <c r="B118" s="11" t="n"/>
      <c r="F118" s="12" t="n"/>
    </row>
    <row r="119">
      <c r="B119" s="11" t="n"/>
      <c r="F119" s="12" t="n"/>
    </row>
    <row r="120">
      <c r="B120" s="11" t="n"/>
      <c r="F120" s="12" t="n"/>
    </row>
    <row r="121">
      <c r="B121" s="11" t="n"/>
      <c r="F121" s="12" t="n"/>
    </row>
    <row r="122">
      <c r="B122" s="11" t="n"/>
      <c r="F122" s="12" t="n"/>
    </row>
    <row r="123">
      <c r="B123" s="11" t="n"/>
      <c r="F123" s="12" t="n"/>
    </row>
    <row r="124">
      <c r="B124" s="11" t="n"/>
      <c r="F124" s="12" t="n"/>
    </row>
    <row r="125">
      <c r="B125" s="11" t="n"/>
      <c r="F125" s="12" t="n"/>
    </row>
    <row r="126">
      <c r="B126" s="11" t="n"/>
      <c r="F126" s="12" t="n"/>
    </row>
    <row r="127">
      <c r="B127" s="11" t="n"/>
      <c r="F127" s="12" t="n"/>
    </row>
    <row r="128">
      <c r="B128" s="11" t="n"/>
      <c r="F128" s="12" t="n"/>
    </row>
    <row r="129">
      <c r="B129" s="11" t="n"/>
      <c r="F129" s="12" t="n"/>
    </row>
    <row r="130">
      <c r="B130" s="11" t="n"/>
      <c r="F130" s="12" t="n"/>
    </row>
    <row r="131">
      <c r="B131" s="11" t="n"/>
      <c r="F131" s="12" t="n"/>
    </row>
    <row r="132">
      <c r="B132" s="11" t="n"/>
      <c r="F132" s="12" t="n"/>
    </row>
    <row r="133">
      <c r="B133" s="11" t="n"/>
      <c r="F133" s="12" t="n"/>
    </row>
    <row r="134">
      <c r="B134" s="11" t="n"/>
      <c r="F134" s="12" t="n"/>
    </row>
    <row r="135">
      <c r="B135" s="11" t="n"/>
      <c r="F135" s="12" t="n"/>
    </row>
    <row r="136">
      <c r="B136" s="11" t="n"/>
      <c r="F136" s="12" t="n"/>
    </row>
    <row r="137">
      <c r="B137" s="11" t="n"/>
      <c r="F137" s="12" t="n"/>
    </row>
    <row r="138">
      <c r="B138" s="11" t="n"/>
      <c r="F138" s="12" t="n"/>
    </row>
    <row r="139">
      <c r="B139" s="11" t="n"/>
      <c r="F139" s="12" t="n"/>
    </row>
    <row r="140">
      <c r="B140" s="11" t="n"/>
      <c r="F140" s="12" t="n"/>
    </row>
    <row r="141">
      <c r="B141" s="11" t="n"/>
      <c r="F141" s="12" t="n"/>
    </row>
    <row r="142">
      <c r="B142" s="11" t="n"/>
      <c r="F142" s="12" t="n"/>
    </row>
    <row r="143">
      <c r="B143" s="11" t="n"/>
      <c r="F143" s="12" t="n"/>
    </row>
    <row r="144">
      <c r="B144" s="11" t="n"/>
      <c r="F144" s="12" t="n"/>
    </row>
    <row r="145">
      <c r="B145" s="11" t="n"/>
      <c r="F145" s="12" t="n"/>
    </row>
    <row r="146">
      <c r="B146" s="11" t="n"/>
      <c r="F146" s="12" t="n"/>
    </row>
    <row r="147">
      <c r="B147" s="11" t="n"/>
      <c r="F147" s="12" t="n"/>
    </row>
    <row r="148">
      <c r="B148" s="11" t="n"/>
      <c r="F148" s="12" t="n"/>
    </row>
    <row r="149">
      <c r="B149" s="11" t="n"/>
      <c r="F149" s="12" t="n"/>
    </row>
    <row r="150">
      <c r="B150" s="11" t="n"/>
      <c r="F150" s="12" t="n"/>
    </row>
    <row r="151">
      <c r="B151" s="11" t="n"/>
      <c r="F151" s="12" t="n"/>
    </row>
    <row r="152">
      <c r="B152" s="11" t="n"/>
      <c r="F152" s="12" t="n"/>
    </row>
    <row r="153">
      <c r="B153" s="11" t="n"/>
      <c r="F153" s="12" t="n"/>
    </row>
    <row r="154">
      <c r="B154" s="11" t="n"/>
      <c r="F154" s="12" t="n"/>
    </row>
    <row r="155">
      <c r="B155" s="11" t="n"/>
      <c r="F155" s="12" t="n"/>
    </row>
    <row r="156">
      <c r="B156" s="11" t="n"/>
      <c r="F156" s="12" t="n"/>
    </row>
    <row r="157">
      <c r="B157" s="11" t="n"/>
      <c r="F157" s="12" t="n"/>
    </row>
    <row r="158">
      <c r="B158" s="11" t="n"/>
      <c r="F158" s="12" t="n"/>
    </row>
    <row r="159">
      <c r="B159" s="11" t="n"/>
      <c r="F159" s="12" t="n"/>
    </row>
    <row r="160">
      <c r="B160" s="11" t="n"/>
      <c r="F160" s="12" t="n"/>
    </row>
    <row r="161">
      <c r="B161" s="11" t="n"/>
      <c r="F161" s="12" t="n"/>
    </row>
    <row r="162">
      <c r="B162" s="11" t="n"/>
      <c r="F162" s="12" t="n"/>
    </row>
    <row r="163">
      <c r="B163" s="11" t="n"/>
      <c r="F163" s="12" t="n"/>
    </row>
    <row r="164">
      <c r="B164" s="11" t="n"/>
      <c r="F164" s="12" t="n"/>
    </row>
    <row r="165">
      <c r="B165" s="11" t="n"/>
      <c r="F165" s="12" t="n"/>
    </row>
    <row r="166">
      <c r="B166" s="11" t="n"/>
      <c r="F166" s="12" t="n"/>
    </row>
    <row r="167">
      <c r="B167" s="11" t="n"/>
      <c r="F167" s="12" t="n"/>
    </row>
    <row r="168">
      <c r="B168" s="11" t="n"/>
      <c r="F168" s="12" t="n"/>
    </row>
    <row r="169">
      <c r="B169" s="11" t="n"/>
      <c r="F169" s="12" t="n"/>
    </row>
    <row r="170">
      <c r="B170" s="11" t="n"/>
      <c r="F170" s="12" t="n"/>
    </row>
    <row r="171">
      <c r="B171" s="11" t="n"/>
      <c r="F171" s="12" t="n"/>
    </row>
    <row r="172">
      <c r="B172" s="11" t="n"/>
      <c r="F172" s="12" t="n"/>
    </row>
    <row r="173">
      <c r="B173" s="11" t="n"/>
      <c r="F173" s="12" t="n"/>
    </row>
    <row r="174">
      <c r="B174" s="11" t="n"/>
      <c r="F174" s="12" t="n"/>
    </row>
    <row r="175">
      <c r="B175" s="11" t="n"/>
      <c r="F175" s="12" t="n"/>
    </row>
    <row r="176">
      <c r="B176" s="11" t="n"/>
      <c r="F176" s="12" t="n"/>
    </row>
    <row r="177">
      <c r="B177" s="11" t="n"/>
      <c r="F177" s="12" t="n"/>
    </row>
    <row r="178">
      <c r="B178" s="11" t="n"/>
      <c r="F178" s="12" t="n"/>
    </row>
    <row r="179">
      <c r="B179" s="11" t="n"/>
      <c r="F179" s="12" t="n"/>
    </row>
    <row r="180">
      <c r="B180" s="11" t="n"/>
      <c r="F180" s="12" t="n"/>
    </row>
    <row r="181">
      <c r="B181" s="11" t="n"/>
      <c r="F181" s="12" t="n"/>
    </row>
    <row r="182">
      <c r="B182" s="11" t="n"/>
      <c r="F182" s="12" t="n"/>
    </row>
    <row r="183">
      <c r="B183" s="11" t="n"/>
      <c r="F183" s="12" t="n"/>
    </row>
    <row r="184">
      <c r="B184" s="11" t="n"/>
      <c r="F184" s="12" t="n"/>
    </row>
    <row r="185">
      <c r="B185" s="11" t="n"/>
      <c r="F185" s="12" t="n"/>
    </row>
    <row r="186">
      <c r="B186" s="11" t="n"/>
      <c r="F186" s="12" t="n"/>
    </row>
    <row r="187">
      <c r="B187" s="11" t="n"/>
      <c r="F187" s="12" t="n"/>
    </row>
    <row r="188">
      <c r="B188" s="11" t="n"/>
      <c r="F188" s="12" t="n"/>
    </row>
    <row r="189">
      <c r="B189" s="11" t="n"/>
      <c r="F189" s="12" t="n"/>
    </row>
    <row r="190">
      <c r="B190" s="11" t="n"/>
      <c r="F190" s="12" t="n"/>
    </row>
    <row r="191">
      <c r="B191" s="11" t="n"/>
      <c r="F191" s="12" t="n"/>
    </row>
    <row r="192">
      <c r="B192" s="11" t="n"/>
      <c r="F192" s="12" t="n"/>
    </row>
    <row r="193">
      <c r="B193" s="11" t="n"/>
      <c r="F193" s="12" t="n"/>
    </row>
    <row r="194">
      <c r="B194" s="11" t="n"/>
      <c r="F194" s="12" t="n"/>
    </row>
    <row r="195">
      <c r="B195" s="11" t="n"/>
      <c r="F195" s="12" t="n"/>
    </row>
    <row r="196">
      <c r="B196" s="11" t="n"/>
      <c r="F196" s="12" t="n"/>
    </row>
    <row r="197">
      <c r="B197" s="11" t="n"/>
      <c r="F197" s="12" t="n"/>
    </row>
    <row r="198">
      <c r="B198" s="11" t="n"/>
      <c r="F198" s="12" t="n"/>
    </row>
    <row r="199">
      <c r="B199" s="11" t="n"/>
      <c r="F199" s="12" t="n"/>
    </row>
    <row r="200">
      <c r="B200" s="11" t="n"/>
      <c r="F200" s="12" t="n"/>
    </row>
    <row r="201">
      <c r="B201" s="11" t="n"/>
      <c r="F201" s="12" t="n"/>
    </row>
    <row r="202">
      <c r="B202" s="11" t="n"/>
      <c r="F202" s="12" t="n"/>
    </row>
    <row r="203">
      <c r="B203" s="11" t="n"/>
      <c r="F203" s="12" t="n"/>
    </row>
    <row r="204">
      <c r="B204" s="11" t="n"/>
      <c r="F204" s="12" t="n"/>
    </row>
    <row r="205">
      <c r="B205" s="11" t="n"/>
      <c r="F205" s="12" t="n"/>
    </row>
    <row r="206">
      <c r="B206" s="11" t="n"/>
      <c r="F206" s="12" t="n"/>
    </row>
    <row r="207">
      <c r="B207" s="11" t="n"/>
      <c r="F207" s="12" t="n"/>
    </row>
    <row r="208">
      <c r="B208" s="11" t="n"/>
      <c r="F208" s="12" t="n"/>
    </row>
    <row r="209">
      <c r="B209" s="11" t="n"/>
      <c r="F209" s="12" t="n"/>
    </row>
    <row r="210">
      <c r="B210" s="11" t="n"/>
      <c r="F210" s="12" t="n"/>
    </row>
    <row r="211">
      <c r="B211" s="11" t="n"/>
      <c r="F211" s="12" t="n"/>
    </row>
    <row r="212">
      <c r="B212" s="11" t="n"/>
      <c r="F212" s="12" t="n"/>
    </row>
    <row r="213">
      <c r="B213" s="11" t="n"/>
      <c r="F213" s="12" t="n"/>
    </row>
    <row r="214">
      <c r="B214" s="11" t="n"/>
      <c r="F214" s="12" t="n"/>
    </row>
    <row r="215">
      <c r="B215" s="11" t="n"/>
      <c r="F215" s="12" t="n"/>
    </row>
    <row r="216">
      <c r="B216" s="11" t="n"/>
      <c r="F216" s="12" t="n"/>
    </row>
    <row r="217">
      <c r="B217" s="11" t="n"/>
      <c r="F217" s="12" t="n"/>
    </row>
    <row r="218">
      <c r="B218" s="11" t="n"/>
      <c r="F218" s="12" t="n"/>
    </row>
    <row r="219">
      <c r="B219" s="11" t="n"/>
      <c r="F219" s="12" t="n"/>
    </row>
    <row r="220">
      <c r="B220" s="11" t="n"/>
      <c r="F220" s="12" t="n"/>
    </row>
    <row r="221">
      <c r="B221" s="11" t="n"/>
      <c r="F221" s="12" t="n"/>
    </row>
    <row r="222">
      <c r="B222" s="11" t="n"/>
      <c r="F222" s="12" t="n"/>
    </row>
    <row r="223">
      <c r="B223" s="11" t="n"/>
      <c r="F223" s="12" t="n"/>
    </row>
    <row r="224">
      <c r="B224" s="11" t="n"/>
      <c r="F224" s="12" t="n"/>
    </row>
    <row r="225">
      <c r="B225" s="11" t="n"/>
      <c r="F225" s="12" t="n"/>
    </row>
    <row r="226">
      <c r="B226" s="11" t="n"/>
      <c r="F226" s="12" t="n"/>
    </row>
    <row r="227">
      <c r="B227" s="11" t="n"/>
      <c r="F227" s="12" t="n"/>
    </row>
    <row r="228">
      <c r="B228" s="11" t="n"/>
      <c r="F228" s="12" t="n"/>
    </row>
    <row r="229">
      <c r="B229" s="11" t="n"/>
      <c r="F229" s="12" t="n"/>
    </row>
    <row r="230">
      <c r="B230" s="11" t="n"/>
      <c r="F230" s="12" t="n"/>
    </row>
    <row r="231">
      <c r="B231" s="11" t="n"/>
      <c r="F231" s="12" t="n"/>
    </row>
    <row r="232">
      <c r="B232" s="11" t="n"/>
      <c r="F232" s="12" t="n"/>
    </row>
    <row r="233">
      <c r="B233" s="11" t="n"/>
      <c r="F233" s="12" t="n"/>
    </row>
    <row r="234">
      <c r="B234" s="11" t="n"/>
      <c r="F234" s="12" t="n"/>
    </row>
    <row r="235">
      <c r="B235" s="11" t="n"/>
      <c r="F235" s="12" t="n"/>
    </row>
    <row r="236">
      <c r="B236" s="11" t="n"/>
      <c r="F236" s="12" t="n"/>
    </row>
    <row r="237">
      <c r="B237" s="11" t="n"/>
      <c r="F237" s="12" t="n"/>
    </row>
    <row r="238">
      <c r="B238" s="11" t="n"/>
      <c r="F238" s="12" t="n"/>
    </row>
    <row r="239">
      <c r="B239" s="11" t="n"/>
      <c r="F239" s="12" t="n"/>
    </row>
    <row r="240">
      <c r="B240" s="11" t="n"/>
      <c r="F240" s="12" t="n"/>
    </row>
    <row r="241">
      <c r="B241" s="11" t="n"/>
      <c r="F241" s="12" t="n"/>
    </row>
    <row r="242">
      <c r="B242" s="11" t="n"/>
      <c r="F242" s="12" t="n"/>
    </row>
    <row r="243">
      <c r="B243" s="11" t="n"/>
      <c r="F243" s="12" t="n"/>
    </row>
    <row r="244">
      <c r="B244" s="11" t="n"/>
      <c r="F244" s="12" t="n"/>
    </row>
    <row r="245">
      <c r="B245" s="11" t="n"/>
      <c r="F245" s="12" t="n"/>
    </row>
    <row r="246">
      <c r="B246" s="11" t="n"/>
      <c r="F246" s="12" t="n"/>
    </row>
    <row r="247">
      <c r="B247" s="11" t="n"/>
      <c r="F247" s="12" t="n"/>
    </row>
    <row r="248">
      <c r="B248" s="11" t="n"/>
      <c r="F248" s="12" t="n"/>
    </row>
    <row r="249">
      <c r="B249" s="11" t="n"/>
      <c r="F249" s="12" t="n"/>
    </row>
    <row r="250">
      <c r="B250" s="11" t="n"/>
      <c r="F250" s="12" t="n"/>
    </row>
    <row r="251">
      <c r="B251" s="11" t="n"/>
      <c r="F251" s="12" t="n"/>
    </row>
    <row r="252">
      <c r="B252" s="11" t="n"/>
      <c r="F252" s="12" t="n"/>
    </row>
    <row r="253">
      <c r="B253" s="11" t="n"/>
      <c r="F253" s="12" t="n"/>
    </row>
    <row r="254">
      <c r="B254" s="11" t="n"/>
      <c r="F254" s="12" t="n"/>
    </row>
    <row r="255">
      <c r="B255" s="11" t="n"/>
      <c r="F255" s="12" t="n"/>
    </row>
    <row r="256">
      <c r="B256" s="11" t="n"/>
      <c r="F256" s="12" t="n"/>
    </row>
    <row r="257">
      <c r="B257" s="11" t="n"/>
      <c r="F257" s="12" t="n"/>
    </row>
    <row r="258">
      <c r="B258" s="11" t="n"/>
      <c r="F258" s="12" t="n"/>
    </row>
    <row r="259">
      <c r="B259" s="11" t="n"/>
      <c r="F259" s="12" t="n"/>
    </row>
    <row r="260">
      <c r="B260" s="11" t="n"/>
      <c r="F260" s="12" t="n"/>
    </row>
    <row r="261">
      <c r="B261" s="11" t="n"/>
      <c r="F261" s="12" t="n"/>
    </row>
    <row r="262">
      <c r="B262" s="11" t="n"/>
      <c r="F262" s="12" t="n"/>
    </row>
    <row r="263">
      <c r="B263" s="11" t="n"/>
      <c r="F263" s="12" t="n"/>
    </row>
    <row r="264">
      <c r="B264" s="11" t="n"/>
      <c r="F264" s="12" t="n"/>
    </row>
    <row r="265">
      <c r="B265" s="11" t="n"/>
      <c r="F265" s="12" t="n"/>
    </row>
    <row r="266">
      <c r="B266" s="11" t="n"/>
      <c r="F266" s="12" t="n"/>
    </row>
    <row r="267">
      <c r="B267" s="11" t="n"/>
      <c r="F267" s="12" t="n"/>
    </row>
    <row r="268">
      <c r="B268" s="11" t="n"/>
      <c r="F268" s="12" t="n"/>
    </row>
    <row r="269">
      <c r="B269" s="11" t="n"/>
      <c r="F269" s="12" t="n"/>
    </row>
    <row r="270">
      <c r="B270" s="11" t="n"/>
      <c r="F270" s="12" t="n"/>
    </row>
    <row r="271">
      <c r="B271" s="11" t="n"/>
      <c r="F271" s="12" t="n"/>
    </row>
    <row r="272">
      <c r="B272" s="11" t="n"/>
      <c r="F272" s="12" t="n"/>
    </row>
    <row r="273">
      <c r="B273" s="11" t="n"/>
      <c r="F273" s="12" t="n"/>
    </row>
    <row r="274">
      <c r="B274" s="11" t="n"/>
      <c r="F274" s="12" t="n"/>
    </row>
    <row r="275">
      <c r="B275" s="11" t="n"/>
      <c r="F275" s="12" t="n"/>
    </row>
    <row r="276">
      <c r="B276" s="11" t="n"/>
      <c r="F276" s="12" t="n"/>
    </row>
    <row r="277">
      <c r="B277" s="11" t="n"/>
      <c r="F277" s="12" t="n"/>
    </row>
    <row r="278">
      <c r="B278" s="11" t="n"/>
      <c r="F278" s="12" t="n"/>
    </row>
    <row r="279">
      <c r="B279" s="11" t="n"/>
      <c r="F279" s="12" t="n"/>
    </row>
    <row r="280">
      <c r="B280" s="11" t="n"/>
      <c r="F280" s="12" t="n"/>
    </row>
    <row r="281">
      <c r="B281" s="11" t="n"/>
      <c r="F281" s="12" t="n"/>
    </row>
    <row r="282">
      <c r="B282" s="11" t="n"/>
      <c r="F282" s="12" t="n"/>
    </row>
    <row r="283">
      <c r="B283" s="11" t="n"/>
      <c r="F283" s="12" t="n"/>
    </row>
    <row r="284">
      <c r="B284" s="11" t="n"/>
      <c r="F284" s="12" t="n"/>
    </row>
    <row r="285">
      <c r="B285" s="11" t="n"/>
      <c r="F285" s="12" t="n"/>
    </row>
    <row r="286">
      <c r="B286" s="11" t="n"/>
      <c r="F286" s="12" t="n"/>
    </row>
    <row r="287">
      <c r="B287" s="11" t="n"/>
      <c r="F287" s="12" t="n"/>
    </row>
    <row r="288">
      <c r="B288" s="11" t="n"/>
      <c r="F288" s="12" t="n"/>
    </row>
    <row r="289">
      <c r="B289" s="11" t="n"/>
      <c r="F289" s="12" t="n"/>
    </row>
    <row r="290">
      <c r="B290" s="11" t="n"/>
      <c r="F290" s="12" t="n"/>
    </row>
    <row r="291">
      <c r="B291" s="11" t="n"/>
      <c r="F291" s="12" t="n"/>
    </row>
    <row r="292">
      <c r="B292" s="11" t="n"/>
      <c r="F292" s="12" t="n"/>
    </row>
    <row r="293">
      <c r="B293" s="11" t="n"/>
      <c r="F293" s="12" t="n"/>
    </row>
    <row r="294">
      <c r="B294" s="11" t="n"/>
      <c r="F294" s="12" t="n"/>
    </row>
    <row r="295">
      <c r="B295" s="11" t="n"/>
      <c r="F295" s="12" t="n"/>
    </row>
    <row r="296">
      <c r="B296" s="11" t="n"/>
      <c r="F296" s="12" t="n"/>
    </row>
    <row r="297">
      <c r="B297" s="11" t="n"/>
      <c r="F297" s="12" t="n"/>
    </row>
    <row r="298">
      <c r="B298" s="11" t="n"/>
      <c r="F298" s="12" t="n"/>
    </row>
    <row r="299">
      <c r="B299" s="11" t="n"/>
      <c r="F299" s="12" t="n"/>
    </row>
    <row r="300">
      <c r="B300" s="11" t="n"/>
      <c r="F300" s="12" t="n"/>
    </row>
    <row r="301">
      <c r="B301" s="11" t="n"/>
      <c r="F301" s="12" t="n"/>
    </row>
  </sheetData>
  <autoFilter ref="A1:AA300"/>
  <conditionalFormatting sqref="A2:AA300">
    <cfRule type="expression" priority="1" dxfId="0">
      <formula>ISNUMBER(SEARCH("diverg",$N2))</formula>
    </cfRule>
    <cfRule type="expression" priority="2" dxfId="1">
      <formula>AND($A2&lt;&gt;"",ISEVEN(ROW()))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B789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IF(Configuração!B3="","Cole o link na aba Configuração (célula B3)",IMPORTDATA(Configuração!B3,",","pt_BR"))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3" t="inlineStr">
        <is>
          <t>Configuração da planilha</t>
        </is>
      </c>
    </row>
    <row r="3">
      <c r="A3" s="14" t="inlineStr">
        <is>
          <t>Link da planilha →</t>
        </is>
      </c>
      <c r="B3" s="15" t="n"/>
    </row>
    <row r="5">
      <c r="A5" s="16" t="inlineStr">
        <is>
          <t>Como ligar (uma vez só):</t>
        </is>
      </c>
    </row>
    <row r="6">
      <c r="A6" s="17" t="inlineStr">
        <is>
          <t>1. Abra https://clinicablue.pages.dev/financeiro e digite a senha da gestão.</t>
        </is>
      </c>
    </row>
    <row r="7">
      <c r="A7" s="17" t="inlineStr">
        <is>
          <t>2. Em "Lançamentos", clique em 🔗 Ligar a planilha e depois em Copiar link.</t>
        </is>
      </c>
    </row>
    <row r="8">
      <c r="A8" s="17" t="inlineStr">
        <is>
          <t>3. Cole o link na célula amarela B3 acima. As abas Lançamentos e Resumo se preenchem sozinhas.</t>
        </is>
      </c>
    </row>
    <row r="9">
      <c r="A9" s="17" t="inlineStr">
        <is>
          <t>O Google atualiza a importação cerca de 1 vez por hora e sempre que a planilha é aberta.</t>
        </is>
      </c>
    </row>
    <row r="10">
      <c r="A10" s="17" t="inlineStr">
        <is>
          <t>O link é como uma senha: quem tiver o link vê os lançamentos. Não compartilhe fora da gestão.</t>
        </is>
      </c>
    </row>
    <row r="11">
      <c r="A11" s="17" t="inlineStr">
        <is>
          <t>Não edite as abas Dados e Lançamentos: elas são preenchidas pelo sistema. Anotações: use uma aba nova.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2026-10-06T13:11:38Z</dcterms:created>
  <dcterms:modified xsi:type="dcterms:W3CDTF">2026-10-06T13:11:38Z</dcterms:modified>
</cp:coreProperties>
</file>